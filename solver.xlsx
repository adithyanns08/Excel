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13_ncr:1_{AE516000-36B8-4F37-A617-FBC137ED0D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solver_adj" localSheetId="0" hidden="1">Sheet1!$B$5:$E$7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Sheet1!$B$10:$E$10</definedName>
    <definedName name="solver_lhs2" localSheetId="0" hidden="1">Sheet1!$B$5:$E$5</definedName>
    <definedName name="solver_lhs3" localSheetId="0" hidden="1">Sheet1!$B$5:$E$7</definedName>
    <definedName name="solver_lhs4" localSheetId="0" hidden="1">Sheet1!$B$6:$E$6</definedName>
    <definedName name="solver_lhs5" localSheetId="0" hidden="1">Sheet1!$B$7:$E$7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Sheet1!$H$8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1</definedName>
    <definedName name="solver_rhs1" localSheetId="0" hidden="1">Sheet1!$B$8:$E$8</definedName>
    <definedName name="solver_rhs2" localSheetId="0" hidden="1">92</definedName>
    <definedName name="solver_rhs3" localSheetId="0" hidden="1">20</definedName>
    <definedName name="solver_rhs4" localSheetId="0" hidden="1">45</definedName>
    <definedName name="solver_rhs5" localSheetId="0" hidden="1">55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B8" i="1"/>
  <c r="H7" i="1"/>
  <c r="H6" i="1"/>
  <c r="H5" i="1"/>
  <c r="H8" i="1" l="1"/>
</calcChain>
</file>

<file path=xl/sharedStrings.xml><?xml version="1.0" encoding="utf-8"?>
<sst xmlns="http://schemas.openxmlformats.org/spreadsheetml/2006/main" count="14" uniqueCount="13">
  <si>
    <t>Shipping</t>
  </si>
  <si>
    <t>Total Cost of</t>
  </si>
  <si>
    <t/>
  </si>
  <si>
    <t>1QTR</t>
  </si>
  <si>
    <t>2QTR</t>
  </si>
  <si>
    <t>3QTR</t>
  </si>
  <si>
    <t>4QTR</t>
  </si>
  <si>
    <t>Per Unit</t>
  </si>
  <si>
    <t>Plant 1:</t>
  </si>
  <si>
    <t>Plant 2:</t>
  </si>
  <si>
    <t>Plant 3:</t>
  </si>
  <si>
    <t>Total Units Produced:</t>
  </si>
  <si>
    <t>Warehouse Demands: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</si>
</sst>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1" fontId="3" fillId="0" borderId="0" xfId="2" applyNumberFormat="1" applyFont="1" applyAlignment="1">
      <alignment horizontal="centerContinuous"/>
    </xf>
    <xf numFmtId="1" fontId="2" fillId="0" borderId="0" xfId="2" applyNumberFormat="1" applyFont="1" applyAlignment="1">
      <alignment horizontal="centerContinuous"/>
    </xf>
    <xf numFmtId="1" fontId="2" fillId="0" borderId="0" xfId="2" applyNumberFormat="1" applyFont="1" applyAlignment="1"/>
    <xf numFmtId="1" fontId="4" fillId="2" borderId="1" xfId="1" applyNumberFormat="1" applyFont="1" applyFill="1" applyBorder="1" applyAlignment="1">
      <alignment horizontal="center"/>
    </xf>
    <xf numFmtId="1" fontId="4" fillId="2" borderId="2" xfId="2" applyNumberFormat="1" applyFont="1" applyFill="1" applyBorder="1" applyAlignment="1">
      <alignment horizontal="center"/>
    </xf>
    <xf numFmtId="1" fontId="5" fillId="0" borderId="3" xfId="2" quotePrefix="1" applyNumberFormat="1" applyFont="1" applyFill="1" applyBorder="1" applyAlignment="1"/>
    <xf numFmtId="0" fontId="4" fillId="2" borderId="3" xfId="2" applyFont="1" applyFill="1" applyBorder="1" applyAlignment="1">
      <alignment horizontal="right"/>
    </xf>
    <xf numFmtId="0" fontId="2" fillId="0" borderId="0" xfId="2"/>
    <xf numFmtId="0" fontId="4" fillId="2" borderId="4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1" fontId="5" fillId="3" borderId="3" xfId="2" applyNumberFormat="1" applyFont="1" applyFill="1" applyBorder="1" applyAlignment="1">
      <alignment horizontal="right"/>
    </xf>
    <xf numFmtId="1" fontId="6" fillId="0" borderId="3" xfId="2" applyNumberFormat="1" applyFont="1" applyBorder="1" applyAlignment="1">
      <alignment horizontal="center"/>
    </xf>
    <xf numFmtId="44" fontId="6" fillId="0" borderId="3" xfId="1" applyFont="1" applyBorder="1"/>
    <xf numFmtId="44" fontId="1" fillId="0" borderId="3" xfId="1" applyBorder="1"/>
    <xf numFmtId="1" fontId="6" fillId="0" borderId="3" xfId="1" applyNumberFormat="1" applyFont="1" applyBorder="1" applyAlignment="1">
      <alignment horizontal="center"/>
    </xf>
    <xf numFmtId="1" fontId="4" fillId="2" borderId="3" xfId="2" applyNumberFormat="1" applyFont="1" applyFill="1" applyBorder="1" applyAlignment="1">
      <alignment horizontal="right"/>
    </xf>
    <xf numFmtId="1" fontId="6" fillId="4" borderId="3" xfId="2" applyNumberFormat="1" applyFont="1" applyFill="1" applyBorder="1" applyAlignment="1">
      <alignment horizontal="center"/>
    </xf>
    <xf numFmtId="1" fontId="2" fillId="0" borderId="3" xfId="2" applyNumberFormat="1" applyFont="1" applyBorder="1" applyAlignment="1"/>
    <xf numFmtId="164" fontId="6" fillId="5" borderId="3" xfId="2" applyNumberFormat="1" applyFont="1" applyFill="1" applyBorder="1" applyAlignment="1"/>
    <xf numFmtId="1" fontId="5" fillId="0" borderId="3" xfId="2" applyNumberFormat="1" applyFont="1" applyBorder="1" applyAlignment="1"/>
    <xf numFmtId="1" fontId="5" fillId="0" borderId="3" xfId="1" applyNumberFormat="1" applyFont="1" applyFill="1" applyBorder="1" applyAlignment="1"/>
    <xf numFmtId="1" fontId="4" fillId="2" borderId="3" xfId="2" applyNumberFormat="1" applyFont="1" applyFill="1" applyBorder="1" applyAlignment="1"/>
    <xf numFmtId="1" fontId="6" fillId="5" borderId="3" xfId="2" applyNumberFormat="1" applyFont="1" applyFill="1" applyBorder="1" applyAlignment="1">
      <alignment horizontal="center"/>
    </xf>
    <xf numFmtId="1" fontId="5" fillId="0" borderId="0" xfId="2" applyNumberFormat="1" applyFont="1" applyAlignment="1"/>
  </cellXfs>
  <cellStyles count="3">
    <cellStyle name="Currency" xfId="1" builtinId="4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11</xdr:row>
      <xdr:rowOff>180975</xdr:rowOff>
    </xdr:from>
    <xdr:to>
      <xdr:col>9</xdr:col>
      <xdr:colOff>361950</xdr:colOff>
      <xdr:row>18</xdr:row>
      <xdr:rowOff>1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190499" y="2390775"/>
          <a:ext cx="8696326" cy="115252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F2" sqref="F2"/>
    </sheetView>
  </sheetViews>
  <sheetFormatPr defaultRowHeight="15" x14ac:dyDescent="0.25"/>
  <cols>
    <col min="1" max="1" width="26.140625" bestFit="1" customWidth="1"/>
    <col min="2" max="5" width="11.5703125" customWidth="1"/>
    <col min="7" max="7" width="16.28515625" customWidth="1"/>
    <col min="8" max="8" width="20.85546875" customWidth="1"/>
  </cols>
  <sheetData>
    <row r="1" spans="1:9" ht="15.75" x14ac:dyDescent="0.25">
      <c r="A1" s="1"/>
      <c r="B1" s="2"/>
      <c r="C1" s="2"/>
      <c r="D1" s="2"/>
      <c r="E1" s="2"/>
      <c r="F1" s="2"/>
      <c r="G1" s="2"/>
      <c r="H1" s="3"/>
      <c r="I1" s="3"/>
    </row>
    <row r="2" spans="1:9" ht="15.75" thickBot="1" x14ac:dyDescent="0.3">
      <c r="A2" s="3"/>
      <c r="B2" s="3"/>
      <c r="C2" s="3"/>
      <c r="D2" s="3"/>
      <c r="E2" s="3"/>
      <c r="F2" s="3"/>
      <c r="G2" s="3"/>
      <c r="H2" s="3"/>
      <c r="I2" s="3"/>
    </row>
    <row r="3" spans="1:9" ht="15.75" x14ac:dyDescent="0.25">
      <c r="A3" s="3"/>
      <c r="B3" s="3"/>
      <c r="C3" s="3"/>
      <c r="D3" s="3"/>
      <c r="E3" s="3"/>
      <c r="F3" s="3"/>
      <c r="G3" s="4" t="s">
        <v>0</v>
      </c>
      <c r="H3" s="5" t="s">
        <v>1</v>
      </c>
      <c r="I3" s="3"/>
    </row>
    <row r="4" spans="1:9" ht="16.5" thickBot="1" x14ac:dyDescent="0.3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/>
      <c r="G4" s="9" t="s">
        <v>7</v>
      </c>
      <c r="H4" s="10" t="s">
        <v>0</v>
      </c>
      <c r="I4" s="3"/>
    </row>
    <row r="5" spans="1:9" ht="15.75" x14ac:dyDescent="0.25">
      <c r="A5" s="11" t="s">
        <v>8</v>
      </c>
      <c r="B5" s="12">
        <v>92</v>
      </c>
      <c r="C5" s="12">
        <v>39.999999999999993</v>
      </c>
      <c r="D5" s="12">
        <v>92</v>
      </c>
      <c r="E5" s="12">
        <v>92</v>
      </c>
      <c r="F5" s="8"/>
      <c r="G5" s="13">
        <v>1.25</v>
      </c>
      <c r="H5" s="14">
        <f>G5*(B5+C5+D5+E5)</f>
        <v>395</v>
      </c>
      <c r="I5" s="3"/>
    </row>
    <row r="6" spans="1:9" ht="15.75" x14ac:dyDescent="0.25">
      <c r="A6" s="11" t="s">
        <v>9</v>
      </c>
      <c r="B6" s="15">
        <v>33.000000000000007</v>
      </c>
      <c r="C6" s="12">
        <v>20</v>
      </c>
      <c r="D6" s="12">
        <v>42.999999999994266</v>
      </c>
      <c r="E6" s="12">
        <v>20</v>
      </c>
      <c r="F6" s="8"/>
      <c r="G6" s="13">
        <v>1.84</v>
      </c>
      <c r="H6" s="14">
        <f>G6*(B6+C6+D6+E6)</f>
        <v>213.43999999998948</v>
      </c>
      <c r="I6" s="3"/>
    </row>
    <row r="7" spans="1:9" ht="15.75" x14ac:dyDescent="0.25">
      <c r="A7" s="11" t="s">
        <v>10</v>
      </c>
      <c r="B7" s="12">
        <v>55</v>
      </c>
      <c r="C7" s="12">
        <v>20</v>
      </c>
      <c r="D7" s="12">
        <v>55</v>
      </c>
      <c r="E7" s="12">
        <v>47.999999999999986</v>
      </c>
      <c r="F7" s="8"/>
      <c r="G7" s="13">
        <v>1.45</v>
      </c>
      <c r="H7" s="14">
        <f>G7*(B7+C7+D7+E7)</f>
        <v>258.09999999999997</v>
      </c>
      <c r="I7" s="3"/>
    </row>
    <row r="8" spans="1:9" ht="15.75" x14ac:dyDescent="0.25">
      <c r="A8" s="16" t="s">
        <v>11</v>
      </c>
      <c r="B8" s="17">
        <f>SUM(B5:B7)</f>
        <v>180</v>
      </c>
      <c r="C8" s="17">
        <f>SUM(C5:C7)</f>
        <v>80</v>
      </c>
      <c r="D8" s="17">
        <f>SUM(D5:D7)</f>
        <v>189.99999999999426</v>
      </c>
      <c r="E8" s="17">
        <f>SUM(E5:E7)</f>
        <v>160</v>
      </c>
      <c r="F8" s="8"/>
      <c r="G8" s="18"/>
      <c r="H8" s="19">
        <f>H5+H6+H7</f>
        <v>866.5399999999895</v>
      </c>
      <c r="I8" s="3"/>
    </row>
    <row r="9" spans="1:9" ht="15.75" x14ac:dyDescent="0.25">
      <c r="A9" s="20"/>
      <c r="B9" s="21"/>
      <c r="C9" s="21"/>
      <c r="D9" s="21"/>
      <c r="E9" s="21"/>
      <c r="F9" s="8"/>
      <c r="G9" s="3"/>
      <c r="H9" s="3"/>
      <c r="I9" s="3"/>
    </row>
    <row r="10" spans="1:9" ht="15.75" x14ac:dyDescent="0.25">
      <c r="A10" s="22" t="s">
        <v>12</v>
      </c>
      <c r="B10" s="23">
        <v>180</v>
      </c>
      <c r="C10" s="23">
        <v>80</v>
      </c>
      <c r="D10" s="23">
        <v>190</v>
      </c>
      <c r="E10" s="23">
        <v>160</v>
      </c>
      <c r="F10" s="8"/>
      <c r="G10" s="3"/>
      <c r="H10" s="3"/>
      <c r="I10" s="3"/>
    </row>
    <row r="11" spans="1:9" ht="15.75" x14ac:dyDescent="0.25">
      <c r="A11" s="24"/>
      <c r="B11" s="3"/>
      <c r="C11" s="3"/>
      <c r="D11" s="3"/>
      <c r="E11" s="3"/>
      <c r="F11" s="8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Drishya</dc:creator>
  <cp:lastModifiedBy>Edure k 46</cp:lastModifiedBy>
  <dcterms:created xsi:type="dcterms:W3CDTF">2023-09-08T10:52:06Z</dcterms:created>
  <dcterms:modified xsi:type="dcterms:W3CDTF">2025-06-17T06:15:21Z</dcterms:modified>
</cp:coreProperties>
</file>